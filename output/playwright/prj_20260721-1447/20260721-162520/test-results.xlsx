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a8539d819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測試摘要" sheetId="1" r:id="R56a1a7fb19e24caf"/>
    <x:sheet xmlns:r="http://schemas.openxmlformats.org/officeDocument/2006/relationships" name="form_01" sheetId="2" r:id="Rb2e21bc10d73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  <x:fill>
      <x:patternFill patternType="solid">
        <x:fgColor rgb="FF0F766E"/>
      </x:patternFill>
    </x:fill>
  </x:fills>
  <x:borders count="8">
    <x:border/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bottom style="thin">
        <x:color rgb="FFCCD6E0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6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3aa6f912b47f8" /><Relationship Type="http://schemas.openxmlformats.org/officeDocument/2006/relationships/theme" Target="/xl/theme/theme1.xml" Id="R77123249cf9a4f7b" /><Relationship Type="http://schemas.openxmlformats.org/officeDocument/2006/relationships/sharedStrings" Target="/xl/sharedStrings.xml" Id="R2476f74c4c114b94" /><Relationship Type="http://schemas.openxmlformats.org/officeDocument/2006/relationships/worksheet" Target="/xl/worksheets/sheet1.xml" Id="R56a1a7fb19e24caf" /><Relationship Type="http://schemas.openxmlformats.org/officeDocument/2006/relationships/worksheet" Target="/xl/worksheets/sheet2.xml" Id="Rb2e21bc10d73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54" hidden="0" customWidth="1"/>
    <x:col min="4" max="4" width="24" hidden="0" customWidth="1"/>
    <x:col min="5" max="5" width="14" hidden="0" customWidth="1"/>
    <x:col min="6" max="6" width="4" hidden="0" customWidth="1"/>
    <x:col min="7" max="7" width="22" hidden="0" customWidth="1"/>
    <x:col min="8" max="8" width="14" hidden="0" customWidth="1"/>
  </x:cols>
  <x:sheetData>
    <x:row r="1" ht="19.200000762939453" hidden="0" customHeight="1">
      <x:c r="A1" s="4" t="str">
        <x:v>HTML 表單 QA 測試報告</x:v>
      </x:c>
      <x:c r="B1" s="4" t="str">
        <x:v>HTML 表單 QA 測試報告</x:v>
      </x:c>
      <x:c r="C1" s="4" t="str">
        <x:v>HTML 表單 QA 測試報告</x:v>
      </x:c>
      <x:c r="D1" s="4" t="str">
        <x:v>HTML 表單 QA 測試報告</x:v>
      </x:c>
      <x:c r="E1" s="4" t="str">
        <x:v>HTML 表單 QA 測試報告</x:v>
      </x:c>
      <x:c r="F1" s="4" t="str">
        <x:v>HTML 表單 QA 測試報告</x:v>
      </x:c>
    </x:row>
    <x:row r="2"/>
    <x:row r="3" ht="32" hidden="0" customHeight="1">
      <x:c r="A3" s="13" t="str">
        <x:v>項目</x:v>
      </x:c>
      <x:c r="B3" s="14" t="str">
        <x:v>內容</x:v>
      </x:c>
      <x:c r="D3" s="13" t="str">
        <x:v>測試類型</x:v>
      </x:c>
      <x:c r="E3" s="14" t="str">
        <x:v>案例數</x:v>
      </x:c>
      <x:c r="G3" s="51" t="str">
        <x:v>執行狀態</x:v>
      </x:c>
      <x:c r="H3" s="53" t="str">
        <x:v>案例數</x:v>
      </x:c>
    </x:row>
    <x:row r="4" ht="15" hidden="0" customHeight="1">
      <x:c r="A4" s="22" t="str">
        <x:v>prj_id</x:v>
      </x:c>
      <x:c r="B4" s="22" t="str">
        <x:v>prj_20260721-1447</x:v>
      </x:c>
      <x:c r="D4" s="22" t="str">
        <x:v>合法基準</x:v>
      </x:c>
      <x:c r="E4" s="22" t="n">
        <x:f>COUNTIF('form_01'!$B$2:$B$13,"合法基準")</x:f>
        <x:v>1</x:v>
      </x:c>
      <x:c r="G4" s="22" t="str">
        <x:v>PASS</x:v>
      </x:c>
      <x:c r="H4" s="22" t="n">
        <x:f>COUNTIF('form_01'!$AQ$2:$AQ$13,"PASS")</x:f>
        <x:v>10</x:v>
      </x:c>
    </x:row>
    <x:row r="5" ht="15" hidden="0" customHeight="1">
      <x:c r="A5" s="23" t="str">
        <x:v>來源</x:v>
      </x:c>
      <x:c r="B5" s="23" t="str">
        <x:v>http://127.0.0.1:4174/</x:v>
      </x:c>
      <x:c r="D5" s="23" t="str">
        <x:v>必填</x:v>
      </x:c>
      <x:c r="E5" s="23" t="n">
        <x:f>COUNTIF('form_01'!$B$2:$B$13,"必填")</x:f>
        <x:v>2</x:v>
      </x:c>
      <x:c r="G5" s="23" t="str">
        <x:v>FAIL</x:v>
      </x:c>
      <x:c r="H5" s="23" t="n">
        <x:f>COUNTIF('form_01'!$AQ$2:$AQ$13,"FAIL")</x:f>
        <x:v>0</x:v>
      </x:c>
    </x:row>
    <x:row r="6" ht="15" hidden="0" customHeight="1">
      <x:c r="A6" s="23" t="str">
        <x:v>頁面標題</x:v>
      </x:c>
      <x:c r="B6" s="23" t="str">
        <x:v>AirwayAI eCRF Studio</x:v>
      </x:c>
      <x:c r="D6" s="23" t="str">
        <x:v>格式</x:v>
      </x:c>
      <x:c r="E6" s="23" t="n">
        <x:f>COUNTIF('form_01'!$B$2:$B$13,"格式")</x:f>
        <x:v>0</x:v>
      </x:c>
      <x:c r="G6" s="23" t="str">
        <x:v>需人工確認</x:v>
      </x:c>
      <x:c r="H6" s="23" t="n">
        <x:f>COUNTIF('form_01'!$AQ$2:$AQ$13,"需人工確認")</x:f>
        <x:v>2</x:v>
      </x:c>
    </x:row>
    <x:row r="7" ht="26.399999618530273" hidden="0" customHeight="1">
      <x:c r="A7" s="23" t="str">
        <x:v>HTML SHA-256</x:v>
      </x:c>
      <x:c r="B7" s="23" t="str">
        <x:v>d53fab53a00faa575966d5587013515b70792310e240761fbce63b965bdc2223</x:v>
      </x:c>
      <x:c r="D7" s="23" t="str">
        <x:v>邊界值</x:v>
      </x:c>
      <x:c r="E7" s="23" t="n">
        <x:f>COUNTIF('form_01'!$B$2:$B$13,"邊界值")</x:f>
        <x:v>0</x:v>
      </x:c>
      <x:c r="G7" s="24" t="str">
        <x:v>技術錯誤</x:v>
      </x:c>
      <x:c r="H7" s="24" t="n">
        <x:f>SUM(COUNTIF('form_01'!$AQ$2:$AQ$13,"技術錯誤"),COUNTIF('form_01'!$AQ$2:$AQ$13,"TECHNICAL_ERROR"))</x:f>
        <x:v>0</x:v>
      </x:c>
    </x:row>
    <x:row r="8" ht="15" hidden="0" customHeight="1">
      <x:c r="A8" s="23" t="str">
        <x:v>產生時間</x:v>
      </x:c>
      <x:c r="B8" s="25" t="n">
        <x:v>46224.685428240744</x:v>
      </x:c>
      <x:c r="D8" s="23" t="str">
        <x:v>長度</x:v>
      </x:c>
      <x:c r="E8" s="23" t="n">
        <x:f>COUNTIF('form_01'!$B$2:$B$13,"長度")</x:f>
        <x:v>0</x:v>
      </x:c>
    </x:row>
    <x:row r="9" ht="15" hidden="0" customHeight="1">
      <x:c r="A9" s="23" t="str">
        <x:v>表單數</x:v>
      </x:c>
      <x:c r="B9" s="23" t="n">
        <x:v>1</x:v>
      </x:c>
      <x:c r="D9" s="23" t="str">
        <x:v>步進值</x:v>
      </x:c>
      <x:c r="E9" s="23" t="n">
        <x:f>COUNTIF('form_01'!$B$2:$B$13,"步進值")</x:f>
        <x:v>0</x:v>
      </x:c>
    </x:row>
    <x:row r="10" ht="15" hidden="0" customHeight="1">
      <x:c r="A10" s="23" t="str">
        <x:v>欄位數</x:v>
      </x:c>
      <x:c r="B10" s="23" t="n">
        <x:v>37</x:v>
      </x:c>
      <x:c r="D10" s="23" t="str">
        <x:v>條件式欄位</x:v>
      </x:c>
      <x:c r="E10" s="23" t="n">
        <x:f>COUNTIF('form_01'!$B$2:$B$13,"條件式欄位")</x:f>
        <x:v>0</x:v>
      </x:c>
    </x:row>
    <x:row r="11" ht="15" hidden="0" customHeight="1">
      <x:c r="A11" s="23" t="str">
        <x:v>測試案例數</x:v>
      </x:c>
      <x:c r="B11" s="23" t="n">
        <x:v>12</x:v>
      </x:c>
      <x:c r="D11" s="23" t="str">
        <x:v>唯讀或停用</x:v>
      </x:c>
      <x:c r="E11" s="23" t="n">
        <x:f>COUNTIF('form_01'!$B$2:$B$13,"唯讀或停用")</x:f>
        <x:v>1</x:v>
      </x:c>
    </x:row>
    <x:row r="12" ht="15" hidden="0" customHeight="1">
      <x:c r="A12" s="23" t="str">
        <x:v>跳過／裁減紀錄數</x:v>
      </x:c>
      <x:c r="B12" s="23" t="n">
        <x:v>27</x:v>
      </x:c>
      <x:c r="D12" s="23" t="str">
        <x:v>布林抽樣</x:v>
      </x:c>
      <x:c r="E12" s="23" t="n">
        <x:f>COUNTIF('form_01'!$B$2:$B$13,"布林抽樣")</x:f>
        <x:v>0</x:v>
      </x:c>
    </x:row>
    <x:row r="13" ht="15" hidden="0" customHeight="1">
      <x:c r="A13" s="24" t="str">
        <x:v>正式送出</x:v>
      </x:c>
      <x:c r="B13" s="24" t="str">
        <x:v>未授權，只驗證送出前狀態</x:v>
      </x:c>
      <x:c r="D13" s="23" t="str">
        <x:v>Pairwise</x:v>
      </x:c>
      <x:c r="E13" s="23" t="n">
        <x:f>COUNTIF('form_01'!$B$2:$B$13,"Pairwise")</x:f>
        <x:v>6</x:v>
      </x:c>
    </x:row>
    <x:row r="14" ht="15" hidden="0" customHeight="1">
      <x:c r="D14" s="23" t="str">
        <x:v>Unicode</x:v>
      </x:c>
      <x:c r="E14" s="23" t="n">
        <x:f>COUNTIF('form_01'!$B$2:$B$13,"Unicode")</x:f>
        <x:v>0</x:v>
      </x:c>
    </x:row>
    <x:row r="15" ht="15" hidden="0" customHeight="1">
      <x:c r="D15" s="23" t="str">
        <x:v>前後空白</x:v>
      </x:c>
      <x:c r="E15" s="23" t="n">
        <x:f>COUNTIF('form_01'!$B$2:$B$13,"前後空白")</x:f>
        <x:v>0</x:v>
      </x:c>
    </x:row>
    <x:row r="16" ht="15" hidden="0" customHeight="1">
      <x:c r="A16" s="13" t="str">
        <x:v>表單</x:v>
      </x:c>
      <x:c r="B16" s="33" t="str">
        <x:v>布林欄位總數</x:v>
      </x:c>
      <x:c r="C16" s="33" t="str">
        <x:v>已抽樣</x:v>
      </x:c>
      <x:c r="D16" s="14" t="str">
        <x:v>未抽樣</x:v>
      </x:c>
      <x:c r="E16" s="24" t="n">
        <x:f>COUNTIF('form_01'!$B$2:$B$13,"推測規則")</x:f>
        <x:v>2</x:v>
      </x:c>
    </x:row>
    <x:row r="17" ht="26.399999618530273" hidden="0" customHeight="1">
      <x:c r="A17" s="36" t="str">
        <x:v>Screening and Eligibility</x:v>
      </x:c>
      <x:c r="B17" s="36" t="n">
        <x:v>0</x:v>
      </x:c>
      <x:c r="C17" s="36" t="str"/>
      <x:c r="D17" s="36" t="str"/>
    </x:row>
    <x:row r="18"/>
    <x:row r="19"/>
    <x:row r="20" ht="15" hidden="0" customHeight="1">
      <x:c r="A20" s="13" t="str">
        <x:v>表單</x:v>
      </x:c>
      <x:c r="B20" s="33" t="str">
        <x:v>欄位／案例</x:v>
      </x:c>
      <x:c r="C20" s="14" t="str">
        <x:v>跳過或裁減原因</x:v>
      </x:c>
    </x:row>
    <x:row r="21" ht="26.399999618530273" hidden="0" customHeight="1">
      <x:c r="A21" s="22" t="str">
        <x:v>Screening and Eligibility</x:v>
      </x:c>
      <x:c r="B21" s="22" t="str">
        <x:v>使用成對組合覆蓋多欄位合法值互動。</x:v>
      </x:c>
      <x:c r="C21" s="22" t="str">
        <x:v>超過 12 筆案例上限，依風險優先順序裁減。</x:v>
      </x:c>
    </x:row>
    <x:row r="22" ht="26.399999618530273" hidden="0" customHeight="1">
      <x:c r="A22" s="23" t="str">
        <x:v>Screening and Eligibility</x:v>
      </x:c>
      <x:c r="B22" s="23" t="str">
        <x:v>使用成對組合覆蓋多欄位合法值互動。</x:v>
      </x:c>
      <x:c r="C22" s="23" t="str">
        <x:v>超過 12 筆案例上限，依風險優先順序裁減。</x:v>
      </x:c>
    </x:row>
    <x:row r="23" ht="26.399999618530273" hidden="0" customHeight="1">
      <x:c r="A23" s="23" t="str">
        <x:v>Screening and Eligibility</x:v>
      </x:c>
      <x:c r="B23" s="23" t="str">
        <x:v>使用成對組合覆蓋多欄位合法值互動。</x:v>
      </x:c>
      <x:c r="C23" s="23" t="str">
        <x:v>超過 12 筆案例上限，依風險優先順序裁減。</x:v>
      </x:c>
    </x:row>
    <x:row r="24" ht="26.399999618530273" hidden="0" customHeight="1">
      <x:c r="A24" s="23" t="str">
        <x:v>Screening and Eligibility</x:v>
      </x:c>
      <x:c r="B24" s="23" t="str">
        <x:v>使用成對組合覆蓋多欄位合法值互動。</x:v>
      </x:c>
      <x:c r="C24" s="23" t="str">
        <x:v>超過 12 筆案例上限，依風險優先順序裁減。</x:v>
      </x:c>
    </x:row>
    <x:row r="25" ht="26.399999618530273" hidden="0" customHeight="1">
      <x:c r="A25" s="23" t="str">
        <x:v>Screening and Eligibility</x:v>
      </x:c>
      <x:c r="B25" s="23" t="str">
        <x:v>使用成對組合覆蓋多欄位合法值互動。</x:v>
      </x:c>
      <x:c r="C25" s="23" t="str">
        <x:v>超過 12 筆案例上限，依風險優先順序裁減。</x:v>
      </x:c>
    </x:row>
    <x:row r="26" ht="52.79999923706055" hidden="0" customHeight="1">
      <x:c r="A26" s="23" t="str">
        <x:v>Screening and Eligibility</x:v>
      </x:c>
      <x:c r="B26" s="23" t="str">
        <x:v>在「Study identifier [#root &gt; div:nth-of-type(1) &gt; main:nth-of-type(1) &gt; aside:nth-of-type(2) &gt; form:nth-of-type(1) &gt; fieldset:nth-of-type(1) &gt; input:nth-of-type(1)]」輸入安全的 Unicode 合成文字。</x:v>
      </x:c>
      <x:c r="C26" s="23" t="str">
        <x:v>超過 12 筆案例上限，依風險優先順序裁減。</x:v>
      </x:c>
    </x:row>
    <x:row r="27" ht="52.79999923706055" hidden="0" customHeight="1">
      <x:c r="A27" s="23" t="str">
        <x:v>Screening and Eligibility</x:v>
      </x:c>
      <x:c r="B27" s="23" t="str">
        <x:v>在「Study identifier [#root &gt; div:nth-of-type(1) &gt; main:nth-of-type(1) &gt; aside:nth-of-type(2) &gt; form:nth-of-type(1) &gt; fieldset:nth-of-type(1) &gt; input:nth-of-type(1)]」輸入含前後空白的資料。</x:v>
      </x:c>
      <x:c r="C27" s="23" t="str">
        <x:v>超過 12 筆案例上限，依風險優先順序裁減。</x:v>
      </x:c>
    </x:row>
    <x:row r="28" ht="52.79999923706055" hidden="0" customHeight="1">
      <x:c r="A28" s="23" t="str">
        <x:v>Screening and Eligibility</x:v>
      </x:c>
      <x:c r="B28" s="23" t="str">
        <x:v>在「Site identifier [#root &gt; div:nth-of-type(1) &gt; main:nth-of-type(1) &gt; aside:nth-of-type(2) &gt; form:nth-of-type(1) &gt; fieldset:nth-of-type(2) &gt; input:nth-of-type(1)]」輸入安全的 Unicode 合成文字。</x:v>
      </x:c>
      <x:c r="C28" s="23" t="str">
        <x:v>超過 12 筆案例上限，依風險優先順序裁減。</x:v>
      </x:c>
    </x:row>
    <x:row r="29" ht="52.79999923706055" hidden="0" customHeight="1">
      <x:c r="A29" s="23" t="str">
        <x:v>Screening and Eligibility</x:v>
      </x:c>
      <x:c r="B29" s="23" t="str">
        <x:v>在「Site identifier [#root &gt; div:nth-of-type(1) &gt; main:nth-of-type(1) &gt; aside:nth-of-type(2) &gt; form:nth-of-type(1) &gt; fieldset:nth-of-type(2) &gt; input:nth-of-type(1)]」輸入含前後空白的資料。</x:v>
      </x:c>
      <x:c r="C29" s="23" t="str">
        <x:v>超過 12 筆案例上限，依風險優先順序裁減。</x:v>
      </x:c>
    </x:row>
    <x:row r="30" ht="52.79999923706055" hidden="0" customHeight="1">
      <x:c r="A30" s="23" t="str">
        <x:v>Screening and Eligibility</x:v>
      </x:c>
      <x:c r="B30" s="23" t="str">
        <x:v>在「Pseudonymous screening record code [#root &gt; div:nth-of-type(1) &gt; main:nth-of-type(1) &gt; aside:nth-of-type(2) &gt; form:nth-of-type(1) &gt; fieldset:nth-of-type(3) &gt; input:nth-of-type(1)]」輸入安全的 Unicode 合成文字。</x:v>
      </x:c>
      <x:c r="C30" s="23" t="str">
        <x:v>超過 12 筆案例上限，依風險優先順序裁減。</x:v>
      </x:c>
    </x:row>
    <x:row r="31" ht="52.79999923706055" hidden="0" customHeight="1">
      <x:c r="A31" s="23" t="str">
        <x:v>Screening and Eligibility</x:v>
      </x:c>
      <x:c r="B31" s="23" t="str">
        <x:v>在「Pseudonymous screening record code [#root &gt; div:nth-of-type(1) &gt; main:nth-of-type(1) &gt; aside:nth-of-type(2) &gt; form:nth-of-type(1) &gt; fieldset:nth-of-type(3) &gt; input:nth-of-type(1)]」輸入含前後空白的資料。</x:v>
      </x:c>
      <x:c r="C31" s="23" t="str">
        <x:v>超過 12 筆案例上限，依風險優先順序裁減。</x:v>
      </x:c>
    </x:row>
    <x:row r="32" ht="52.79999923706055" hidden="0" customHeight="1">
      <x:c r="A32" s="23" t="str">
        <x:v>Screening and Eligibility</x:v>
      </x:c>
      <x:c r="B32" s="23" t="str">
        <x:v>在「Screening date [#root &gt; div:nth-of-type(1) &gt; main:nth-of-type(1) &gt; aside:nth-of-type(2) &gt; form:nth-of-type(1) &gt; fieldset:nth-of-type(4) &gt; input:nth-of-type(1)]」輸入安全的 Unicode 合成文字。</x:v>
      </x:c>
      <x:c r="C32" s="23" t="str">
        <x:v>超過 12 筆案例上限，依風險優先順序裁減。</x:v>
      </x:c>
    </x:row>
    <x:row r="33" ht="52.79999923706055" hidden="0" customHeight="1">
      <x:c r="A33" s="23" t="str">
        <x:v>Screening and Eligibility</x:v>
      </x:c>
      <x:c r="B33" s="23" t="str">
        <x:v>在「Screening date [#root &gt; div:nth-of-type(1) &gt; main:nth-of-type(1) &gt; aside:nth-of-type(2) &gt; form:nth-of-type(1) &gt; fieldset:nth-of-type(4) &gt; input:nth-of-type(1)]」輸入含前後空白的資料。</x:v>
      </x:c>
      <x:c r="C33" s="23" t="str">
        <x:v>超過 12 筆案例上限，依風險優先順序裁減。</x:v>
      </x:c>
    </x:row>
    <x:row r="34" ht="52.79999923706055" hidden="0" customHeight="1">
      <x:c r="A34" s="23" t="str">
        <x:v>Screening and Eligibility</x:v>
      </x:c>
      <x:c r="B34" s="23" t="str">
        <x:v>在「Age [#root &gt; div:nth-of-type(1) &gt; main:nth-of-type(1) &gt; aside:nth-of-type(2) &gt; form:nth-of-type(1) &gt; fieldset:nth-of-type(6) &gt; input:nth-of-type(1)]」輸入安全的 Unicode 合成文字。</x:v>
      </x:c>
      <x:c r="C34" s="23" t="str">
        <x:v>超過 12 筆案例上限，依風險優先順序裁減。</x:v>
      </x:c>
    </x:row>
    <x:row r="35" ht="52.79999923706055" hidden="0" customHeight="1">
      <x:c r="A35" s="23" t="str">
        <x:v>Screening and Eligibility</x:v>
      </x:c>
      <x:c r="B35" s="23" t="str">
        <x:v>在「Age [#root &gt; div:nth-of-type(1) &gt; main:nth-of-type(1) &gt; aside:nth-of-type(2) &gt; form:nth-of-type(1) &gt; fieldset:nth-of-type(6) &gt; input:nth-of-type(1)]」輸入含前後空白的資料。</x:v>
      </x:c>
      <x:c r="C35" s="23" t="str">
        <x:v>超過 12 筆案例上限，依風險優先順序裁減。</x:v>
      </x:c>
    </x:row>
    <x:row r="36" ht="52.79999923706055" hidden="0" customHeight="1">
      <x:c r="A36" s="23" t="str">
        <x:v>Screening and Eligibility</x:v>
      </x:c>
      <x:c r="B36" s="23" t="str">
        <x:v>在「Height [#root &gt; div:nth-of-type(1) &gt; main:nth-of-type(1) &gt; aside:nth-of-type(2) &gt; form:nth-of-type(1) &gt; fieldset:nth-of-type(7) &gt; input:nth-of-type(1)]」輸入安全的 Unicode 合成文字。</x:v>
      </x:c>
      <x:c r="C36" s="23" t="str">
        <x:v>超過 12 筆案例上限，依風險優先順序裁減。</x:v>
      </x:c>
    </x:row>
    <x:row r="37" ht="52.79999923706055" hidden="0" customHeight="1">
      <x:c r="A37" s="23" t="str">
        <x:v>Screening and Eligibility</x:v>
      </x:c>
      <x:c r="B37" s="23" t="str">
        <x:v>在「Height [#root &gt; div:nth-of-type(1) &gt; main:nth-of-type(1) &gt; aside:nth-of-type(2) &gt; form:nth-of-type(1) &gt; fieldset:nth-of-type(7) &gt; input:nth-of-type(1)]」輸入含前後空白的資料。</x:v>
      </x:c>
      <x:c r="C37" s="23" t="str">
        <x:v>超過 12 筆案例上限，依風險優先順序裁減。</x:v>
      </x:c>
    </x:row>
    <x:row r="38" ht="52.79999923706055" hidden="0" customHeight="1">
      <x:c r="A38" s="23" t="str">
        <x:v>Screening and Eligibility</x:v>
      </x:c>
      <x:c r="B38" s="23" t="str">
        <x:v>在「Weight [#root &gt; div:nth-of-type(1) &gt; main:nth-of-type(1) &gt; aside:nth-of-type(2) &gt; form:nth-of-type(1) &gt; fieldset:nth-of-type(8) &gt; input:nth-of-type(1)]」輸入安全的 Unicode 合成文字。</x:v>
      </x:c>
      <x:c r="C38" s="23" t="str">
        <x:v>超過 12 筆案例上限，依風險優先順序裁減。</x:v>
      </x:c>
    </x:row>
    <x:row r="39" ht="52.79999923706055" hidden="0" customHeight="1">
      <x:c r="A39" s="23" t="str">
        <x:v>Screening and Eligibility</x:v>
      </x:c>
      <x:c r="B39" s="23" t="str">
        <x:v>在「Weight [#root &gt; div:nth-of-type(1) &gt; main:nth-of-type(1) &gt; aside:nth-of-type(2) &gt; form:nth-of-type(1) &gt; fieldset:nth-of-type(8) &gt; input:nth-of-type(1)]」輸入含前後空白的資料。</x:v>
      </x:c>
      <x:c r="C39" s="23" t="str">
        <x:v>超過 12 筆案例上限，依風險優先順序裁減。</x:v>
      </x:c>
    </x:row>
    <x:row r="40" ht="52.79999923706055" hidden="0" customHeight="1">
      <x:c r="A40" s="23" t="str">
        <x:v>Screening and Eligibility</x:v>
      </x:c>
      <x:c r="B40" s="23" t="str">
        <x:v>在「Screening apnoea-hypopnoea index [#root &gt; div:nth-of-type(1) &gt; main:nth-of-type(1) &gt; aside:nth-of-type(2) &gt; form:nth-of-type(1) &gt; fieldset:nth-of-type(13) &gt; input:nth-of-type(1)]」輸入安全的 Unicode 合成文字。</x:v>
      </x:c>
      <x:c r="C40" s="23" t="str">
        <x:v>超過 12 筆案例上限，依風險優先順序裁減。</x:v>
      </x:c>
    </x:row>
    <x:row r="41" ht="52.79999923706055" hidden="0" customHeight="1">
      <x:c r="A41" s="23" t="str">
        <x:v>Screening and Eligibility</x:v>
      </x:c>
      <x:c r="B41" s="23" t="str">
        <x:v>在「Screening apnoea-hypopnoea index [#root &gt; div:nth-of-type(1) &gt; main:nth-of-type(1) &gt; aside:nth-of-type(2) &gt; form:nth-of-type(1) &gt; fieldset:nth-of-type(13) &gt; input:nth-of-type(1)]」輸入含前後空白的資料。</x:v>
      </x:c>
      <x:c r="C41" s="23" t="str">
        <x:v>超過 12 筆案例上限，依風險優先順序裁減。</x:v>
      </x:c>
    </x:row>
    <x:row r="42" ht="52.79999923706055" hidden="0" customHeight="1">
      <x:c r="A42" s="23" t="str">
        <x:v>Screening and Eligibility</x:v>
      </x:c>
      <x:c r="B42" s="23" t="str">
        <x:v>在「CPAP use during one-night tolerance assessment [#root &gt; div:nth-of-type(1) &gt; main:nth-of-type(1) &gt; aside:nth-of-type(2) &gt; form:nth-of-type(1) &gt; fieldset:nth-of-type(15) &gt; input:nth-of-type(1)]」輸入安全的 Unicode 合成文字。</x:v>
      </x:c>
      <x:c r="C42" s="23" t="str">
        <x:v>超過 12 筆案例上限，依風險優先順序裁減。</x:v>
      </x:c>
    </x:row>
    <x:row r="43" ht="52.79999923706055" hidden="0" customHeight="1">
      <x:c r="A43" s="23" t="str">
        <x:v>Screening and Eligibility</x:v>
      </x:c>
      <x:c r="B43" s="23" t="str">
        <x:v>在「CPAP use during one-night tolerance assessment [#root &gt; div:nth-of-type(1) &gt; main:nth-of-type(1) &gt; aside:nth-of-type(2) &gt; form:nth-of-type(1) &gt; fieldset:nth-of-type(15) &gt; input:nth-of-type(1)]」輸入含前後空白的資料。</x:v>
      </x:c>
      <x:c r="C43" s="23" t="str">
        <x:v>超過 12 筆案例上限，依風險優先順序裁減。</x:v>
      </x:c>
    </x:row>
    <x:row r="44" ht="52.79999923706055" hidden="0" customHeight="1">
      <x:c r="A44" s="23" t="str">
        <x:v>Screening and Eligibility</x:v>
      </x:c>
      <x:c r="B44" s="23" t="str">
        <x:v>在「Mini-Mental State Examination score [#root &gt; div:nth-of-type(1) &gt; main:nth-of-type(1) &gt; aside:nth-of-type(2) &gt; form:nth-of-type(1) &gt; fieldset:nth-of-type(25) &gt; input:nth-of-type(1)]」輸入安全的 Unicode 合成文字。</x:v>
      </x:c>
      <x:c r="C44" s="23" t="str">
        <x:v>超過 12 筆案例上限，依風險優先順序裁減。</x:v>
      </x:c>
    </x:row>
    <x:row r="45" ht="52.79999923706055" hidden="0" customHeight="1">
      <x:c r="A45" s="23" t="str">
        <x:v>Screening and Eligibility</x:v>
      </x:c>
      <x:c r="B45" s="23" t="str">
        <x:v>在「Mini-Mental State Examination score [#root &gt; div:nth-of-type(1) &gt; main:nth-of-type(1) &gt; aside:nth-of-type(2) &gt; form:nth-of-type(1) &gt; fieldset:nth-of-type(25) &gt; input:nth-of-type(1)]」輸入含前後空白的資料。</x:v>
      </x:c>
      <x:c r="C45" s="23" t="str">
        <x:v>超過 12 筆案例上限，依風險優先順序裁減。</x:v>
      </x:c>
    </x:row>
    <x:row r="46" ht="52.79999923706055" hidden="0" customHeight="1">
      <x:c r="A46" s="23" t="str">
        <x:v>Screening and Eligibility</x:v>
      </x:c>
      <x:c r="B46" s="23" t="str">
        <x:v>在「Reason participant is deemed unsuitable [#root &gt; div:nth-of-type(1) &gt; main:nth-of-type(1) &gt; aside:nth-of-type(2) &gt; form:nth-of-type(1) &gt; fieldset:nth-of-type(36) &gt; input:nth-of-type(1)]」輸入安全的 Unicode 合成文字。</x:v>
      </x:c>
      <x:c r="C46" s="23" t="str">
        <x:v>超過 12 筆案例上限，依風險優先順序裁減。</x:v>
      </x:c>
    </x:row>
    <x:row r="47" ht="52.79999923706055" hidden="0" customHeight="1">
      <x:c r="A47" s="24" t="str">
        <x:v>Screening and Eligibility</x:v>
      </x:c>
      <x:c r="B47" s="24" t="str">
        <x:v>在「Reason participant is deemed unsuitable [#root &gt; div:nth-of-type(1) &gt; main:nth-of-type(1) &gt; aside:nth-of-type(2) &gt; form:nth-of-type(1) &gt; fieldset:nth-of-type(36) &gt; input:nth-of-type(1)]」輸入含前後空白的資料。</x:v>
      </x:c>
      <x:c r="C47" s="24" t="str">
        <x:v>超過 12 筆案例上限，依風險優先順序裁減。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42" hidden="0" customWidth="1"/>
    <x:col min="42" max="42" width="42" hidden="0" customWidth="1"/>
    <x:col min="43" max="43" width="22" hidden="0" customWidth="1"/>
    <x:col min="44" max="44" width="34" hidden="0" customWidth="1"/>
    <x:col min="45" max="45" width="34" hidden="0" customWidth="1"/>
    <x:col min="46" max="46" width="24" hidden="0" customWidth="1"/>
  </x:cols>
  <x:sheetData>
    <x:row r="1" ht="118.80000305175781" hidden="0" customHeight="1">
      <x:c r="A1" s="13" t="str">
        <x:v>案例編號</x:v>
      </x:c>
      <x:c r="B1" s="33" t="str">
        <x:v>測試類型</x:v>
      </x:c>
      <x:c r="C1" s="33" t="str">
        <x:v>測試說明</x:v>
      </x:c>
      <x:c r="D1" s="33" t="str">
        <x:v>Study identifier [#root &gt; div:nth-of-type(1) &gt; main:nth-of-type(1) &gt; aside:nth-of-type(2) &gt; form:nth-of-type(1) &gt; fieldset:nth-of-type(1) &gt; input:nth-of-type(1)]</x:v>
      </x:c>
      <x:c r="E1" s="33" t="str">
        <x:v>Site identifier [#root &gt; div:nth-of-type(1) &gt; main:nth-of-type(1) &gt; aside:nth-of-type(2) &gt; form:nth-of-type(1) &gt; fieldset:nth-of-type(2) &gt; input:nth-of-type(1)]</x:v>
      </x:c>
      <x:c r="F1" s="33" t="str">
        <x:v>Pseudonymous screening record code [#root &gt; div:nth-of-type(1) &gt; main:nth-of-type(1) &gt; aside:nth-of-type(2) &gt; form:nth-of-type(1) &gt; fieldset:nth-of-type(3) &gt; input:nth-of-type(1)]</x:v>
      </x:c>
      <x:c r="G1" s="33" t="str">
        <x:v>Screening date [#root &gt; div:nth-of-type(1) &gt; main:nth-of-type(1) &gt; aside:nth-of-type(2) &gt; form:nth-of-type(1) &gt; fieldset:nth-of-type(4) &gt; input:nth-of-type(1)]</x:v>
      </x:c>
      <x:c r="H1" s="33" t="str">
        <x:v>Yes [preview-4]</x:v>
      </x:c>
      <x:c r="I1" s="33" t="str">
        <x:v>Age [#root &gt; div:nth-of-type(1) &gt; main:nth-of-type(1) &gt; aside:nth-of-type(2) &gt; form:nth-of-type(1) &gt; fieldset:nth-of-type(6) &gt; input:nth-of-type(1)]</x:v>
      </x:c>
      <x:c r="J1" s="33" t="str">
        <x:v>Height [#root &gt; div:nth-of-type(1) &gt; main:nth-of-type(1) &gt; aside:nth-of-type(2) &gt; form:nth-of-type(1) &gt; fieldset:nth-of-type(7) &gt; input:nth-of-type(1)]</x:v>
      </x:c>
      <x:c r="K1" s="33" t="str">
        <x:v>Weight [#root &gt; div:nth-of-type(1) &gt; main:nth-of-type(1) &gt; aside:nth-of-type(2) &gt; form:nth-of-type(1) &gt; fieldset:nth-of-type(8) &gt; input:nth-of-type(1)]</x:v>
      </x:c>
      <x:c r="L1" s="33" t="str">
        <x:v>Body mass index (BMI) [#root &gt; div:nth-of-type(1) &gt; main:nth-of-type(1) &gt; aside:nth-of-type(2) &gt; form:nth-of-type(1) &gt; fieldset:nth-of-type(9) &gt; input:nth-of-type(1)]</x:v>
      </x:c>
      <x:c r="M1" s="33" t="str">
        <x:v>Yes [preview-9]</x:v>
      </x:c>
      <x:c r="N1" s="33" t="str">
        <x:v>Yes [preview-10]</x:v>
      </x:c>
      <x:c r="O1" s="33" t="str">
        <x:v>Yes [preview-11]</x:v>
      </x:c>
      <x:c r="P1" s="33" t="str">
        <x:v>Screening apnoea-hypopnoea index [#root &gt; div:nth-of-type(1) &gt; main:nth-of-type(1) &gt; aside:nth-of-type(2) &gt; form:nth-of-type(1) &gt; fieldset:nth-of-type(13) &gt; input:nth-of-type(1)]</x:v>
      </x:c>
      <x:c r="Q1" s="33" t="str">
        <x:v>Yes [preview-13]</x:v>
      </x:c>
      <x:c r="R1" s="33" t="str">
        <x:v>CPAP use during one-night tolerance assessment [#root &gt; div:nth-of-type(1) &gt; main:nth-of-type(1) &gt; aside:nth-of-type(2) &gt; form:nth-of-type(1) &gt; fieldset:nth-of-type(15) &gt; input:nth-of-type(1)]</x:v>
      </x:c>
      <x:c r="S1" s="33" t="str">
        <x:v>Yes [preview-15]</x:v>
      </x:c>
      <x:c r="T1" s="33" t="str">
        <x:v>Yes [preview-16]</x:v>
      </x:c>
      <x:c r="U1" s="33" t="str">
        <x:v>Yes [preview-17]</x:v>
      </x:c>
      <x:c r="V1" s="33" t="str">
        <x:v>Yes [preview-18]</x:v>
      </x:c>
      <x:c r="W1" s="33" t="str">
        <x:v>Yes [preview-19]</x:v>
      </x:c>
      <x:c r="X1" s="33" t="str">
        <x:v>Yes [preview-20]</x:v>
      </x:c>
      <x:c r="Y1" s="33" t="str">
        <x:v>Yes [preview-21]</x:v>
      </x:c>
      <x:c r="Z1" s="33" t="str">
        <x:v>Yes [preview-22]</x:v>
      </x:c>
      <x:c r="AA1" s="33" t="str">
        <x:v>Yes [preview-23]</x:v>
      </x:c>
      <x:c r="AB1" s="33" t="str">
        <x:v>Mini-Mental State Examination score [#root &gt; div:nth-of-type(1) &gt; main:nth-of-type(1) &gt; aside:nth-of-type(2) &gt; form:nth-of-type(1) &gt; fieldset:nth-of-type(25) &gt; input:nth-of-type(1)]</x:v>
      </x:c>
      <x:c r="AC1" s="33" t="str">
        <x:v>Yes [preview-25]</x:v>
      </x:c>
      <x:c r="AD1" s="33" t="str">
        <x:v>Yes [preview-26]</x:v>
      </x:c>
      <x:c r="AE1" s="33" t="str">
        <x:v>Yes [preview-27]</x:v>
      </x:c>
      <x:c r="AF1" s="33" t="str">
        <x:v>Yes [preview-28]</x:v>
      </x:c>
      <x:c r="AG1" s="33" t="str">
        <x:v>Yes [preview-29]</x:v>
      </x:c>
      <x:c r="AH1" s="33" t="str">
        <x:v>Yes [preview-30]</x:v>
      </x:c>
      <x:c r="AI1" s="33" t="str">
        <x:v>Yes [preview-31]</x:v>
      </x:c>
      <x:c r="AJ1" s="33" t="str">
        <x:v>Yes [preview-32]</x:v>
      </x:c>
      <x:c r="AK1" s="33" t="str">
        <x:v>Yes [preview-33]</x:v>
      </x:c>
      <x:c r="AL1" s="33" t="str">
        <x:v>Yes [preview-34]</x:v>
      </x:c>
      <x:c r="AM1" s="33" t="str">
        <x:v>Reason participant is deemed unsuitable [#root &gt; div:nth-of-type(1) &gt; main:nth-of-type(1) &gt; aside:nth-of-type(2) &gt; form:nth-of-type(1) &gt; fieldset:nth-of-type(36) &gt; input:nth-of-type(1)]</x:v>
      </x:c>
      <x:c r="AN1" s="33" t="str">
        <x:v>Yes [preview-36]</x:v>
      </x:c>
      <x:c r="AO1" s="14" t="str">
        <x:v>預期測試結果</x:v>
      </x:c>
      <x:c r="AP1" s="51" t="str">
        <x:v>實際測試結果</x:v>
      </x:c>
      <x:c r="AQ1" s="52" t="str">
        <x:v>PASS/FAIL/需人工確認</x:v>
      </x:c>
      <x:c r="AR1" s="52" t="str">
        <x:v>錯誤或備註</x:v>
      </x:c>
      <x:c r="AS1" s="52" t="str">
        <x:v>截圖檔名</x:v>
      </x:c>
      <x:c r="AT1" s="53" t="str">
        <x:v>測試時間</x:v>
      </x:c>
    </x:row>
    <x:row r="2" ht="39.599998474121094" hidden="0" customHeight="1">
      <x:c r="A2" s="22" t="str">
        <x:v>F01-TC001</x:v>
      </x:c>
      <x:c r="B2" s="22" t="str">
        <x:v>合法基準</x:v>
      </x:c>
      <x:c r="C2" s="22" t="str">
        <x:v>以合成合法資料填寫所有目前可見且可編輯欄位。</x:v>
      </x:c>
      <x:c r="D2" s="22" t="str">
        <x:v>QA-0001</x:v>
      </x:c>
      <x:c r="E2" s="22" t="str">
        <x:v>QA-0001</x:v>
      </x:c>
      <x:c r="F2" s="22" t="str">
        <x:v>QA-0001</x:v>
      </x:c>
      <x:c r="G2" s="22" t="str">
        <x:v>2026-01-15</x:v>
      </x:c>
      <x:c r="H2" s="22" t="str">
        <x:v>true</x:v>
      </x:c>
      <x:c r="I2" s="22" t="n">
        <x:v>10</x:v>
      </x:c>
      <x:c r="J2" s="22" t="n">
        <x:v>10</x:v>
      </x:c>
      <x:c r="K2" s="22" t="n">
        <x:v>10</x:v>
      </x:c>
      <x:c r="L2" s="22" t="str"/>
      <x:c r="M2" s="22" t="str">
        <x:v>true</x:v>
      </x:c>
      <x:c r="N2" s="22" t="str">
        <x:v>true</x:v>
      </x:c>
      <x:c r="O2" s="22" t="str">
        <x:v>true</x:v>
      </x:c>
      <x:c r="P2" s="22" t="n">
        <x:v>10</x:v>
      </x:c>
      <x:c r="Q2" s="22" t="str">
        <x:v>true</x:v>
      </x:c>
      <x:c r="R2" s="22" t="n">
        <x:v>10</x:v>
      </x:c>
      <x:c r="S2" s="22" t="str">
        <x:v>true</x:v>
      </x:c>
      <x:c r="T2" s="22" t="str">
        <x:v>true</x:v>
      </x:c>
      <x:c r="U2" s="22" t="str">
        <x:v>true</x:v>
      </x:c>
      <x:c r="V2" s="22" t="str">
        <x:v>true</x:v>
      </x:c>
      <x:c r="W2" s="22" t="str">
        <x:v>true</x:v>
      </x:c>
      <x:c r="X2" s="22" t="str">
        <x:v>true</x:v>
      </x:c>
      <x:c r="Y2" s="22" t="str">
        <x:v>true</x:v>
      </x:c>
      <x:c r="Z2" s="22" t="str">
        <x:v>true</x:v>
      </x:c>
      <x:c r="AA2" s="22" t="str">
        <x:v>true</x:v>
      </x:c>
      <x:c r="AB2" s="22" t="n">
        <x:v>10</x:v>
      </x:c>
      <x:c r="AC2" s="22" t="str">
        <x:v>true</x:v>
      </x:c>
      <x:c r="AD2" s="22" t="str">
        <x:v>true</x:v>
      </x:c>
      <x:c r="AE2" s="22" t="str">
        <x:v>true</x:v>
      </x:c>
      <x:c r="AF2" s="22" t="str">
        <x:v>true</x:v>
      </x:c>
      <x:c r="AG2" s="22" t="str">
        <x:v>true</x:v>
      </x:c>
      <x:c r="AH2" s="22" t="str">
        <x:v>true</x:v>
      </x:c>
      <x:c r="AI2" s="22" t="str">
        <x:v>true</x:v>
      </x:c>
      <x:c r="AJ2" s="22" t="str">
        <x:v>true</x:v>
      </x:c>
      <x:c r="AK2" s="22" t="str">
        <x:v>true</x:v>
      </x:c>
      <x:c r="AL2" s="22" t="str">
        <x:v>true</x:v>
      </x:c>
      <x:c r="AM2" s="22" t="str">
        <x:v>測試資料</x:v>
      </x:c>
      <x:c r="AN2" s="22" t="str">
        <x:v>true</x:v>
      </x:c>
      <x:c r="AO2" s="37" t="str">
        <x:v>所有已知欄位限制應通過；未獲送出授權時僅驗證至送出前。</x:v>
      </x:c>
      <x:c r="AP2" s="22" t="str">
        <x:v>HTML 原生驗證通過；未偵測到可見錯誤訊息；未取得正式送出授權，僅執行送出前驗證。</x:v>
      </x:c>
      <x:c r="AQ2" s="22" t="str">
        <x:v>PASS</x:v>
      </x:c>
      <x:c r="AR2" s="22" t="str"/>
      <x:c r="AS2" s="22" t="str">
        <x:v>F01-TC001_合法基準_valid_PASS.png</x:v>
      </x:c>
      <x:c r="AT2" s="54" t="n">
        <x:v>46224.68618055555</x:v>
      </x:c>
    </x:row>
    <x:row r="3" ht="52.79999923706055" hidden="0" customHeight="1">
      <x:c r="A3" s="23" t="str">
        <x:v>F01-TC002</x:v>
      </x:c>
      <x:c r="B3" s="23" t="str">
        <x:v>必填</x:v>
      </x:c>
      <x:c r="C3" s="23" t="str">
        <x:v>清空必填欄位「Height [#root &gt; div:nth-of-type(1) &gt; main:nth-of-type(1) &gt; aside:nth-of-type(2) &gt; form:nth-of-type(1) &gt; fieldset:nth-of-type(7) &gt; input:nth-of-type(1)]」。</x:v>
      </x:c>
      <x:c r="D3" s="23" t="str">
        <x:v>QA-0001</x:v>
      </x:c>
      <x:c r="E3" s="23" t="str">
        <x:v>QA-0001</x:v>
      </x:c>
      <x:c r="F3" s="23" t="str">
        <x:v>QA-0001</x:v>
      </x:c>
      <x:c r="G3" s="23" t="str">
        <x:v>2026-01-15</x:v>
      </x:c>
      <x:c r="H3" s="23" t="str">
        <x:v>true</x:v>
      </x:c>
      <x:c r="I3" s="23" t="n">
        <x:v>10</x:v>
      </x:c>
      <x:c r="J3" s="23"/>
      <x:c r="K3" s="23" t="n">
        <x:v>10</x:v>
      </x:c>
      <x:c r="L3" s="23" t="str"/>
      <x:c r="M3" s="23" t="str">
        <x:v>true</x:v>
      </x:c>
      <x:c r="N3" s="23" t="str">
        <x:v>true</x:v>
      </x:c>
      <x:c r="O3" s="23" t="str">
        <x:v>true</x:v>
      </x:c>
      <x:c r="P3" s="23" t="n">
        <x:v>10</x:v>
      </x:c>
      <x:c r="Q3" s="23" t="str">
        <x:v>true</x:v>
      </x:c>
      <x:c r="R3" s="23" t="n">
        <x:v>10</x:v>
      </x:c>
      <x:c r="S3" s="23" t="str">
        <x:v>true</x:v>
      </x:c>
      <x:c r="T3" s="23" t="str">
        <x:v>true</x:v>
      </x:c>
      <x:c r="U3" s="23" t="str">
        <x:v>true</x:v>
      </x:c>
      <x:c r="V3" s="23" t="str">
        <x:v>true</x:v>
      </x:c>
      <x:c r="W3" s="23" t="str">
        <x:v>true</x:v>
      </x:c>
      <x:c r="X3" s="23" t="str">
        <x:v>true</x:v>
      </x:c>
      <x:c r="Y3" s="23" t="str">
        <x:v>true</x:v>
      </x:c>
      <x:c r="Z3" s="23" t="str">
        <x:v>true</x:v>
      </x:c>
      <x:c r="AA3" s="23" t="str">
        <x:v>true</x:v>
      </x:c>
      <x:c r="AB3" s="23" t="n">
        <x:v>10</x:v>
      </x:c>
      <x:c r="AC3" s="23" t="str">
        <x:v>true</x:v>
      </x:c>
      <x:c r="AD3" s="23" t="str">
        <x:v>true</x:v>
      </x:c>
      <x:c r="AE3" s="23" t="str">
        <x:v>true</x:v>
      </x:c>
      <x:c r="AF3" s="23" t="str">
        <x:v>true</x:v>
      </x:c>
      <x:c r="AG3" s="23" t="str">
        <x:v>true</x:v>
      </x:c>
      <x:c r="AH3" s="23" t="str">
        <x:v>true</x:v>
      </x:c>
      <x:c r="AI3" s="23" t="str">
        <x:v>true</x:v>
      </x:c>
      <x:c r="AJ3" s="23" t="str">
        <x:v>true</x:v>
      </x:c>
      <x:c r="AK3" s="23" t="str">
        <x:v>true</x:v>
      </x:c>
      <x:c r="AL3" s="23" t="str">
        <x:v>true</x:v>
      </x:c>
      <x:c r="AM3" s="23" t="str">
        <x:v>測試資料</x:v>
      </x:c>
      <x:c r="AN3" s="23" t="str">
        <x:v>true</x:v>
      </x:c>
      <x:c r="AO3" s="38" t="str">
        <x:v>應阻止送出或顯示必填錯誤。</x:v>
      </x:c>
      <x:c r="AP3" s="23" t="str">
        <x:v>HTML 原生驗證失敗 1 欄；未偵測到可見錯誤訊息；未取得正式送出授權，僅執行送出前驗證。</x:v>
      </x:c>
      <x:c r="AQ3" s="23" t="str">
        <x:v>PASS</x:v>
      </x:c>
      <x:c r="AR3" s="23" t="str"/>
      <x:c r="AS3" s="23" t="str">
        <x:v>F01-TC002_#root___div_nth-of-type(1)___main_nth-of-type(1)___aside_nth-of-type(2)___form_nth-of-type_invalid_PASS.png</x:v>
      </x:c>
      <x:c r="AT3" s="25" t="n">
        <x:v>46224.68649305555</x:v>
      </x:c>
    </x:row>
    <x:row r="4" ht="52.79999923706055" hidden="0" customHeight="1">
      <x:c r="A4" s="23" t="str">
        <x:v>F01-TC003</x:v>
      </x:c>
      <x:c r="B4" s="23" t="str">
        <x:v>必填</x:v>
      </x:c>
      <x:c r="C4" s="23" t="str">
        <x:v>清空必填欄位「Weight [#root &gt; div:nth-of-type(1) &gt; main:nth-of-type(1) &gt; aside:nth-of-type(2) &gt; form:nth-of-type(1) &gt; fieldset:nth-of-type(8) &gt; input:nth-of-type(1)]」。</x:v>
      </x:c>
      <x:c r="D4" s="23" t="str">
        <x:v>QA-0001</x:v>
      </x:c>
      <x:c r="E4" s="23" t="str">
        <x:v>QA-0001</x:v>
      </x:c>
      <x:c r="F4" s="23" t="str">
        <x:v>QA-0001</x:v>
      </x:c>
      <x:c r="G4" s="23" t="str">
        <x:v>2026-01-15</x:v>
      </x:c>
      <x:c r="H4" s="23" t="str">
        <x:v>true</x:v>
      </x:c>
      <x:c r="I4" s="23" t="n">
        <x:v>10</x:v>
      </x:c>
      <x:c r="J4" s="23" t="n">
        <x:v>10</x:v>
      </x:c>
      <x:c r="K4" s="23"/>
      <x:c r="L4" s="23" t="str"/>
      <x:c r="M4" s="23" t="str">
        <x:v>true</x:v>
      </x:c>
      <x:c r="N4" s="23" t="str">
        <x:v>true</x:v>
      </x:c>
      <x:c r="O4" s="23" t="str">
        <x:v>true</x:v>
      </x:c>
      <x:c r="P4" s="23" t="n">
        <x:v>10</x:v>
      </x:c>
      <x:c r="Q4" s="23" t="str">
        <x:v>true</x:v>
      </x:c>
      <x:c r="R4" s="23" t="n">
        <x:v>10</x:v>
      </x:c>
      <x:c r="S4" s="23" t="str">
        <x:v>true</x:v>
      </x:c>
      <x:c r="T4" s="23" t="str">
        <x:v>true</x:v>
      </x:c>
      <x:c r="U4" s="23" t="str">
        <x:v>true</x:v>
      </x:c>
      <x:c r="V4" s="23" t="str">
        <x:v>true</x:v>
      </x:c>
      <x:c r="W4" s="23" t="str">
        <x:v>true</x:v>
      </x:c>
      <x:c r="X4" s="23" t="str">
        <x:v>true</x:v>
      </x:c>
      <x:c r="Y4" s="23" t="str">
        <x:v>true</x:v>
      </x:c>
      <x:c r="Z4" s="23" t="str">
        <x:v>true</x:v>
      </x:c>
      <x:c r="AA4" s="23" t="str">
        <x:v>true</x:v>
      </x:c>
      <x:c r="AB4" s="23" t="n">
        <x:v>10</x:v>
      </x:c>
      <x:c r="AC4" s="23" t="str">
        <x:v>true</x:v>
      </x:c>
      <x:c r="AD4" s="23" t="str">
        <x:v>true</x:v>
      </x:c>
      <x:c r="AE4" s="23" t="str">
        <x:v>true</x:v>
      </x:c>
      <x:c r="AF4" s="23" t="str">
        <x:v>true</x:v>
      </x:c>
      <x:c r="AG4" s="23" t="str">
        <x:v>true</x:v>
      </x:c>
      <x:c r="AH4" s="23" t="str">
        <x:v>true</x:v>
      </x:c>
      <x:c r="AI4" s="23" t="str">
        <x:v>true</x:v>
      </x:c>
      <x:c r="AJ4" s="23" t="str">
        <x:v>true</x:v>
      </x:c>
      <x:c r="AK4" s="23" t="str">
        <x:v>true</x:v>
      </x:c>
      <x:c r="AL4" s="23" t="str">
        <x:v>true</x:v>
      </x:c>
      <x:c r="AM4" s="23" t="str">
        <x:v>測試資料</x:v>
      </x:c>
      <x:c r="AN4" s="23" t="str">
        <x:v>true</x:v>
      </x:c>
      <x:c r="AO4" s="38" t="str">
        <x:v>應阻止送出或顯示必填錯誤。</x:v>
      </x:c>
      <x:c r="AP4" s="23" t="str">
        <x:v>HTML 原生驗證失敗 1 欄；未偵測到可見錯誤訊息；未取得正式送出授權，僅執行送出前驗證。</x:v>
      </x:c>
      <x:c r="AQ4" s="23" t="str">
        <x:v>PASS</x:v>
      </x:c>
      <x:c r="AR4" s="23" t="str"/>
      <x:c r="AS4" s="23" t="str">
        <x:v>F01-TC003_#root___div_nth-of-type(1)___main_nth-of-type(1)___aside_nth-of-type(2)___form_nth-of-type_invalid_PASS.png</x:v>
      </x:c>
      <x:c r="AT4" s="25" t="n">
        <x:v>46224.68682870371</x:v>
      </x:c>
    </x:row>
    <x:row r="5" ht="105.5999984741211" hidden="0" customHeight="1">
      <x:c r="A5" s="23" t="str">
        <x:v>F01-TC004</x:v>
      </x:c>
      <x:c r="B5" s="23" t="str">
        <x:v>推測規則</x:v>
      </x:c>
      <x:c r="C5" s="23" t="str">
        <x:v>根據「Study identifier [#root &gt; div:nth-of-type(1) &gt; main:nth-of-type(1) &gt; aside:nth-of-type(2) &gt; form:nth-of-type(1) &gt; fieldset:nth-of-type(1) &gt; input:nth-of-type(1)]」附近說明文字建立人工覆核案例。</x:v>
      </x:c>
      <x:c r="D5" s="23" t="str">
        <x:v>QA-0001</x:v>
      </x:c>
      <x:c r="E5" s="23" t="str">
        <x:v>QA-0001</x:v>
      </x:c>
      <x:c r="F5" s="23" t="str">
        <x:v>QA-0001</x:v>
      </x:c>
      <x:c r="G5" s="23" t="str">
        <x:v>2026-01-15</x:v>
      </x:c>
      <x:c r="H5" s="23" t="str">
        <x:v>true</x:v>
      </x:c>
      <x:c r="I5" s="23" t="n">
        <x:v>10</x:v>
      </x:c>
      <x:c r="J5" s="23" t="n">
        <x:v>10</x:v>
      </x:c>
      <x:c r="K5" s="23" t="n">
        <x:v>10</x:v>
      </x:c>
      <x:c r="L5" s="23" t="str"/>
      <x:c r="M5" s="23" t="str">
        <x:v>true</x:v>
      </x:c>
      <x:c r="N5" s="23" t="str">
        <x:v>true</x:v>
      </x:c>
      <x:c r="O5" s="23" t="str">
        <x:v>true</x:v>
      </x:c>
      <x:c r="P5" s="23" t="n">
        <x:v>10</x:v>
      </x:c>
      <x:c r="Q5" s="23" t="str">
        <x:v>true</x:v>
      </x:c>
      <x:c r="R5" s="23" t="n">
        <x:v>10</x:v>
      </x:c>
      <x:c r="S5" s="23" t="str">
        <x:v>true</x:v>
      </x:c>
      <x:c r="T5" s="23" t="str">
        <x:v>true</x:v>
      </x:c>
      <x:c r="U5" s="23" t="str">
        <x:v>true</x:v>
      </x:c>
      <x:c r="V5" s="23" t="str">
        <x:v>true</x:v>
      </x:c>
      <x:c r="W5" s="23" t="str">
        <x:v>true</x:v>
      </x:c>
      <x:c r="X5" s="23" t="str">
        <x:v>true</x:v>
      </x:c>
      <x:c r="Y5" s="23" t="str">
        <x:v>true</x:v>
      </x:c>
      <x:c r="Z5" s="23" t="str">
        <x:v>true</x:v>
      </x:c>
      <x:c r="AA5" s="23" t="str">
        <x:v>true</x:v>
      </x:c>
      <x:c r="AB5" s="23" t="n">
        <x:v>10</x:v>
      </x:c>
      <x:c r="AC5" s="23" t="str">
        <x:v>true</x:v>
      </x:c>
      <x:c r="AD5" s="23" t="str">
        <x:v>true</x:v>
      </x:c>
      <x:c r="AE5" s="23" t="str">
        <x:v>true</x:v>
      </x:c>
      <x:c r="AF5" s="23" t="str">
        <x:v>true</x:v>
      </x:c>
      <x:c r="AG5" s="23" t="str">
        <x:v>true</x:v>
      </x:c>
      <x:c r="AH5" s="23" t="str">
        <x:v>true</x:v>
      </x:c>
      <x:c r="AI5" s="23" t="str">
        <x:v>true</x:v>
      </x:c>
      <x:c r="AJ5" s="23" t="str">
        <x:v>true</x:v>
      </x:c>
      <x:c r="AK5" s="23" t="str">
        <x:v>true</x:v>
      </x:c>
      <x:c r="AL5" s="23" t="str">
        <x:v>true</x:v>
      </x:c>
      <x:c r="AM5" s="23" t="str">
        <x:v>測試資料</x:v>
      </x:c>
      <x:c r="AN5" s="23" t="str">
        <x:v>true</x:v>
      </x:c>
      <x:c r="AO5" s="38" t="str">
        <x:v>規則來自自然語言推測，需人工確認預期與實際結果。</x:v>
      </x:c>
      <x:c r="AP5" s="23" t="str">
        <x:v>HTML 原生驗證通過；未偵測到可見錯誤訊息；未取得正式送出授權，僅執行送出前驗證。</x:v>
      </x:c>
      <x:c r="AQ5" s="23" t="str">
        <x:v>需人工確認</x:v>
      </x:c>
      <x:c r="AR5" s="23" t="str">
        <x:v>Study identifier / Source: Protocol title and trial registration, page 1; multicentre data management, pages 6-7</x:v>
      </x:c>
      <x:c r="AS5" s="23" t="str">
        <x:v>F01-TC004_#root___div_nth-of-type(1)___main_nth-of-type(1)___aside_nth-of-type(2)___form_nth-of-type_manual_需人工確認.png; F01-TC004_#root___div_nth-of-type(1)___main_nth-of-type(1)___aside_nth-of-type(2)___form_nth-of-type_manual_需人工確認_full.png</x:v>
      </x:c>
      <x:c r="AT5" s="25" t="n">
        <x:v>46224.68709490741</x:v>
      </x:c>
    </x:row>
    <x:row r="6" ht="105.5999984741211" hidden="0" customHeight="1">
      <x:c r="A6" s="23" t="str">
        <x:v>F01-TC005</x:v>
      </x:c>
      <x:c r="B6" s="23" t="str">
        <x:v>推測規則</x:v>
      </x:c>
      <x:c r="C6" s="23" t="str">
        <x:v>根據「Site identifier [#root &gt; div:nth-of-type(1) &gt; main:nth-of-type(1) &gt; aside:nth-of-type(2) &gt; form:nth-of-type(1) &gt; fieldset:nth-of-type(2) &gt; input:nth-of-type(1)]」附近說明文字建立人工覆核案例。</x:v>
      </x:c>
      <x:c r="D6" s="23" t="str">
        <x:v>QA-0001</x:v>
      </x:c>
      <x:c r="E6" s="23" t="str">
        <x:v>QA-0001</x:v>
      </x:c>
      <x:c r="F6" s="23" t="str">
        <x:v>QA-0001</x:v>
      </x:c>
      <x:c r="G6" s="23" t="str">
        <x:v>2026-01-15</x:v>
      </x:c>
      <x:c r="H6" s="23" t="str">
        <x:v>true</x:v>
      </x:c>
      <x:c r="I6" s="23" t="n">
        <x:v>10</x:v>
      </x:c>
      <x:c r="J6" s="23" t="n">
        <x:v>10</x:v>
      </x:c>
      <x:c r="K6" s="23" t="n">
        <x:v>10</x:v>
      </x:c>
      <x:c r="L6" s="23" t="str"/>
      <x:c r="M6" s="23" t="str">
        <x:v>true</x:v>
      </x:c>
      <x:c r="N6" s="23" t="str">
        <x:v>true</x:v>
      </x:c>
      <x:c r="O6" s="23" t="str">
        <x:v>true</x:v>
      </x:c>
      <x:c r="P6" s="23" t="n">
        <x:v>10</x:v>
      </x:c>
      <x:c r="Q6" s="23" t="str">
        <x:v>true</x:v>
      </x:c>
      <x:c r="R6" s="23" t="n">
        <x:v>10</x:v>
      </x:c>
      <x:c r="S6" s="23" t="str">
        <x:v>true</x:v>
      </x:c>
      <x:c r="T6" s="23" t="str">
        <x:v>true</x:v>
      </x:c>
      <x:c r="U6" s="23" t="str">
        <x:v>true</x:v>
      </x:c>
      <x:c r="V6" s="23" t="str">
        <x:v>true</x:v>
      </x:c>
      <x:c r="W6" s="23" t="str">
        <x:v>true</x:v>
      </x:c>
      <x:c r="X6" s="23" t="str">
        <x:v>true</x:v>
      </x:c>
      <x:c r="Y6" s="23" t="str">
        <x:v>true</x:v>
      </x:c>
      <x:c r="Z6" s="23" t="str">
        <x:v>true</x:v>
      </x:c>
      <x:c r="AA6" s="23" t="str">
        <x:v>true</x:v>
      </x:c>
      <x:c r="AB6" s="23" t="n">
        <x:v>10</x:v>
      </x:c>
      <x:c r="AC6" s="23" t="str">
        <x:v>true</x:v>
      </x:c>
      <x:c r="AD6" s="23" t="str">
        <x:v>true</x:v>
      </x:c>
      <x:c r="AE6" s="23" t="str">
        <x:v>true</x:v>
      </x:c>
      <x:c r="AF6" s="23" t="str">
        <x:v>true</x:v>
      </x:c>
      <x:c r="AG6" s="23" t="str">
        <x:v>true</x:v>
      </x:c>
      <x:c r="AH6" s="23" t="str">
        <x:v>true</x:v>
      </x:c>
      <x:c r="AI6" s="23" t="str">
        <x:v>true</x:v>
      </x:c>
      <x:c r="AJ6" s="23" t="str">
        <x:v>true</x:v>
      </x:c>
      <x:c r="AK6" s="23" t="str">
        <x:v>true</x:v>
      </x:c>
      <x:c r="AL6" s="23" t="str">
        <x:v>true</x:v>
      </x:c>
      <x:c r="AM6" s="23" t="str">
        <x:v>測試資料</x:v>
      </x:c>
      <x:c r="AN6" s="23" t="str">
        <x:v>true</x:v>
      </x:c>
      <x:c r="AO6" s="38" t="str">
        <x:v>規則來自自然語言推測，需人工確認預期與實際結果。</x:v>
      </x:c>
      <x:c r="AP6" s="23" t="str">
        <x:v>HTML 原生驗證通過；未偵測到可見錯誤訊息；未取得正式送出授權，僅執行送出前驗證。</x:v>
      </x:c>
      <x:c r="AQ6" s="23" t="str">
        <x:v>需人工確認</x:v>
      </x:c>
      <x:c r="AR6" s="23" t="str">
        <x:v>Site identifier / Source: Study design and five participating sleep centres, page 2; data collection and management, pages 6-7</x:v>
      </x:c>
      <x:c r="AS6" s="23" t="str">
        <x:v>F01-TC005_#root___div_nth-of-type(1)___main_nth-of-type(1)___aside_nth-of-type(2)___form_nth-of-type_manual_需人工確認.png; F01-TC005_#root___div_nth-of-type(1)___main_nth-of-type(1)___aside_nth-of-type(2)___form_nth-of-type_manual_需人工確認_full.png</x:v>
      </x:c>
      <x:c r="AT6" s="25" t="n">
        <x:v>46224.687476851854</x:v>
      </x:c>
    </x:row>
    <x:row r="7" ht="66" hidden="0" customHeight="1">
      <x:c r="A7" s="23" t="str">
        <x:v>F01-TC006</x:v>
      </x:c>
      <x:c r="B7" s="23" t="str">
        <x:v>唯讀或停用</x:v>
      </x:c>
      <x:c r="C7" s="23" t="str">
        <x:v>確認「Body mass index (BMI) [#root &gt; div:nth-of-type(1) &gt; main:nth-of-type(1) &gt; aside:nth-of-type(2) &gt; form:nth-of-type(1) &gt; fieldset:nth-of-type(9) &gt; input:nth-of-type(1)]」不可由使用者編輯。</x:v>
      </x:c>
      <x:c r="D7" s="23" t="str">
        <x:v>QA-0001</x:v>
      </x:c>
      <x:c r="E7" s="23" t="str">
        <x:v>QA-0001</x:v>
      </x:c>
      <x:c r="F7" s="23" t="str">
        <x:v>QA-0001</x:v>
      </x:c>
      <x:c r="G7" s="23" t="str">
        <x:v>2026-01-15</x:v>
      </x:c>
      <x:c r="H7" s="23" t="str">
        <x:v>true</x:v>
      </x:c>
      <x:c r="I7" s="23" t="n">
        <x:v>10</x:v>
      </x:c>
      <x:c r="J7" s="23" t="n">
        <x:v>10</x:v>
      </x:c>
      <x:c r="K7" s="23" t="n">
        <x:v>10</x:v>
      </x:c>
      <x:c r="L7" s="23" t="str"/>
      <x:c r="M7" s="23" t="str">
        <x:v>true</x:v>
      </x:c>
      <x:c r="N7" s="23" t="str">
        <x:v>true</x:v>
      </x:c>
      <x:c r="O7" s="23" t="str">
        <x:v>true</x:v>
      </x:c>
      <x:c r="P7" s="23" t="n">
        <x:v>10</x:v>
      </x:c>
      <x:c r="Q7" s="23" t="str">
        <x:v>true</x:v>
      </x:c>
      <x:c r="R7" s="23" t="n">
        <x:v>10</x:v>
      </x:c>
      <x:c r="S7" s="23" t="str">
        <x:v>true</x:v>
      </x:c>
      <x:c r="T7" s="23" t="str">
        <x:v>true</x:v>
      </x:c>
      <x:c r="U7" s="23" t="str">
        <x:v>true</x:v>
      </x:c>
      <x:c r="V7" s="23" t="str">
        <x:v>true</x:v>
      </x:c>
      <x:c r="W7" s="23" t="str">
        <x:v>true</x:v>
      </x:c>
      <x:c r="X7" s="23" t="str">
        <x:v>true</x:v>
      </x:c>
      <x:c r="Y7" s="23" t="str">
        <x:v>true</x:v>
      </x:c>
      <x:c r="Z7" s="23" t="str">
        <x:v>true</x:v>
      </x:c>
      <x:c r="AA7" s="23" t="str">
        <x:v>true</x:v>
      </x:c>
      <x:c r="AB7" s="23" t="n">
        <x:v>10</x:v>
      </x:c>
      <x:c r="AC7" s="23" t="str">
        <x:v>true</x:v>
      </x:c>
      <x:c r="AD7" s="23" t="str">
        <x:v>true</x:v>
      </x:c>
      <x:c r="AE7" s="23" t="str">
        <x:v>true</x:v>
      </x:c>
      <x:c r="AF7" s="23" t="str">
        <x:v>true</x:v>
      </x:c>
      <x:c r="AG7" s="23" t="str">
        <x:v>true</x:v>
      </x:c>
      <x:c r="AH7" s="23" t="str">
        <x:v>true</x:v>
      </x:c>
      <x:c r="AI7" s="23" t="str">
        <x:v>true</x:v>
      </x:c>
      <x:c r="AJ7" s="23" t="str">
        <x:v>true</x:v>
      </x:c>
      <x:c r="AK7" s="23" t="str">
        <x:v>true</x:v>
      </x:c>
      <x:c r="AL7" s="23" t="str">
        <x:v>true</x:v>
      </x:c>
      <x:c r="AM7" s="23" t="str">
        <x:v>測試資料</x:v>
      </x:c>
      <x:c r="AN7" s="23" t="str">
        <x:v>true</x:v>
      </x:c>
      <x:c r="AO7" s="38" t="str">
        <x:v>欄位應維持唯讀或停用，Playwright 不應能編輯。</x:v>
      </x:c>
      <x:c r="AP7" s="23" t="str">
        <x:v>HTML 原生驗證通過；未偵測到可見錯誤訊息；未取得正式送出授權，僅執行送出前驗證。</x:v>
      </x:c>
      <x:c r="AQ7" s="23" t="str">
        <x:v>PASS</x:v>
      </x:c>
      <x:c r="AR7" s="23" t="str"/>
      <x:c r="AS7" s="23" t="str">
        <x:v>F01-TC006_#root___div_nth-of-type(1)___main_nth-of-type(1)___aside_nth-of-type(2)___form_nth-of-type_readonly_PASS.png</x:v>
      </x:c>
      <x:c r="AT7" s="25" t="n">
        <x:v>46224.68780092592</x:v>
      </x:c>
    </x:row>
    <x:row r="8" ht="39.599998474121094" hidden="0" customHeight="1">
      <x:c r="A8" s="23" t="str">
        <x:v>F01-TC007</x:v>
      </x:c>
      <x:c r="B8" s="23" t="str">
        <x:v>Pairwise</x:v>
      </x:c>
      <x:c r="C8" s="23" t="str">
        <x:v>使用成對組合覆蓋多欄位合法值互動。</x:v>
      </x:c>
      <x:c r="D8" s="23" t="str">
        <x:v>QA-0001</x:v>
      </x:c>
      <x:c r="E8" s="23" t="str">
        <x:v>QA-0001</x:v>
      </x:c>
      <x:c r="F8" s="23" t="str">
        <x:v>QA-0001</x:v>
      </x:c>
      <x:c r="G8" s="23" t="str">
        <x:v>2026-01-15</x:v>
      </x:c>
      <x:c r="H8" s="23" t="str">
        <x:v>true</x:v>
      </x:c>
      <x:c r="I8" s="23" t="n">
        <x:v>10</x:v>
      </x:c>
      <x:c r="J8" s="23" t="n">
        <x:v>10</x:v>
      </x:c>
      <x:c r="K8" s="23" t="n">
        <x:v>10</x:v>
      </x:c>
      <x:c r="L8" s="23" t="str"/>
      <x:c r="M8" s="23" t="str">
        <x:v>true</x:v>
      </x:c>
      <x:c r="N8" s="23" t="str">
        <x:v>true</x:v>
      </x:c>
      <x:c r="O8" s="23" t="str">
        <x:v>true</x:v>
      </x:c>
      <x:c r="P8" s="23" t="n">
        <x:v>10</x:v>
      </x:c>
      <x:c r="Q8" s="23" t="str">
        <x:v>true</x:v>
      </x:c>
      <x:c r="R8" s="23" t="n">
        <x:v>10</x:v>
      </x:c>
      <x:c r="S8" s="23" t="str">
        <x:v>true</x:v>
      </x:c>
      <x:c r="T8" s="23" t="str">
        <x:v>true</x:v>
      </x:c>
      <x:c r="U8" s="23" t="str">
        <x:v>true</x:v>
      </x:c>
      <x:c r="V8" s="23" t="str">
        <x:v>true</x:v>
      </x:c>
      <x:c r="W8" s="23" t="str">
        <x:v>true</x:v>
      </x:c>
      <x:c r="X8" s="23" t="str">
        <x:v>true</x:v>
      </x:c>
      <x:c r="Y8" s="23" t="str">
        <x:v>true</x:v>
      </x:c>
      <x:c r="Z8" s="23" t="str">
        <x:v>true</x:v>
      </x:c>
      <x:c r="AA8" s="23" t="str">
        <x:v>true</x:v>
      </x:c>
      <x:c r="AB8" s="23" t="n">
        <x:v>10</x:v>
      </x:c>
      <x:c r="AC8" s="23" t="str">
        <x:v>true</x:v>
      </x:c>
      <x:c r="AD8" s="23" t="str">
        <x:v>true</x:v>
      </x:c>
      <x:c r="AE8" s="23" t="str">
        <x:v>true</x:v>
      </x:c>
      <x:c r="AF8" s="23" t="str">
        <x:v>true</x:v>
      </x:c>
      <x:c r="AG8" s="23" t="str">
        <x:v>true</x:v>
      </x:c>
      <x:c r="AH8" s="23" t="str">
        <x:v>true</x:v>
      </x:c>
      <x:c r="AI8" s="23" t="str">
        <x:v>true</x:v>
      </x:c>
      <x:c r="AJ8" s="23" t="str">
        <x:v>true</x:v>
      </x:c>
      <x:c r="AK8" s="23" t="str">
        <x:v>true</x:v>
      </x:c>
      <x:c r="AL8" s="23" t="str">
        <x:v>true</x:v>
      </x:c>
      <x:c r="AM8" s="23" t="str">
        <x:v>測試資料</x:v>
      </x:c>
      <x:c r="AN8" s="23" t="str">
        <x:v>true</x:v>
      </x:c>
      <x:c r="AO8" s="38" t="str">
        <x:v>所有 pairwise 合法值組合應通過驗證。</x:v>
      </x:c>
      <x:c r="AP8" s="23" t="str">
        <x:v>HTML 原生驗證通過；未偵測到可見錯誤訊息；未取得正式送出授權，僅執行送出前驗證。</x:v>
      </x:c>
      <x:c r="AQ8" s="23" t="str">
        <x:v>PASS</x:v>
      </x:c>
      <x:c r="AR8" s="23" t="str"/>
      <x:c r="AS8" s="23" t="str">
        <x:v>F01-TC007_#root___div_nth-of-type(1)___main_nth-of-type(1)___aside_nth-of-type(2)___form_nth-of-type_valid_PASS.png</x:v>
      </x:c>
      <x:c r="AT8" s="25" t="n">
        <x:v>46224.68813657408</x:v>
      </x:c>
    </x:row>
    <x:row r="9" ht="39.599998474121094" hidden="0" customHeight="1">
      <x:c r="A9" s="23" t="str">
        <x:v>F01-TC008</x:v>
      </x:c>
      <x:c r="B9" s="23" t="str">
        <x:v>Pairwise</x:v>
      </x:c>
      <x:c r="C9" s="23" t="str">
        <x:v>使用成對組合覆蓋多欄位合法值互動。</x:v>
      </x:c>
      <x:c r="D9" s="23" t="str">
        <x:v>QA-0001</x:v>
      </x:c>
      <x:c r="E9" s="23" t="str">
        <x:v>QA-0001</x:v>
      </x:c>
      <x:c r="F9" s="23" t="str">
        <x:v>QA-0001A</x:v>
      </x:c>
      <x:c r="G9" s="23" t="str">
        <x:v>2026-01-15</x:v>
      </x:c>
      <x:c r="H9" s="23" t="str">
        <x:v>true</x:v>
      </x:c>
      <x:c r="I9" s="23" t="n">
        <x:v>10</x:v>
      </x:c>
      <x:c r="J9" s="23" t="n">
        <x:v>10</x:v>
      </x:c>
      <x:c r="K9" s="23" t="n">
        <x:v>10</x:v>
      </x:c>
      <x:c r="L9" s="23" t="str"/>
      <x:c r="M9" s="23" t="str">
        <x:v>false</x:v>
      </x:c>
      <x:c r="N9" s="23" t="str">
        <x:v>true</x:v>
      </x:c>
      <x:c r="O9" s="23" t="str">
        <x:v>true</x:v>
      </x:c>
      <x:c r="P9" s="23" t="n">
        <x:v>10</x:v>
      </x:c>
      <x:c r="Q9" s="23" t="str">
        <x:v>false</x:v>
      </x:c>
      <x:c r="R9" s="23" t="n">
        <x:v>10</x:v>
      </x:c>
      <x:c r="S9" s="23" t="str">
        <x:v>false</x:v>
      </x:c>
      <x:c r="T9" s="23" t="str">
        <x:v>false</x:v>
      </x:c>
      <x:c r="U9" s="23" t="str">
        <x:v>true</x:v>
      </x:c>
      <x:c r="V9" s="23" t="str">
        <x:v>false</x:v>
      </x:c>
      <x:c r="W9" s="23" t="str">
        <x:v>true</x:v>
      </x:c>
      <x:c r="X9" s="23" t="str">
        <x:v>false</x:v>
      </x:c>
      <x:c r="Y9" s="23" t="str">
        <x:v>false</x:v>
      </x:c>
      <x:c r="Z9" s="23" t="str">
        <x:v>false</x:v>
      </x:c>
      <x:c r="AA9" s="23" t="str">
        <x:v>false</x:v>
      </x:c>
      <x:c r="AB9" s="23" t="n">
        <x:v>10</x:v>
      </x:c>
      <x:c r="AC9" s="23" t="str">
        <x:v>false</x:v>
      </x:c>
      <x:c r="AD9" s="23" t="str">
        <x:v>false</x:v>
      </x:c>
      <x:c r="AE9" s="23" t="str">
        <x:v>false</x:v>
      </x:c>
      <x:c r="AF9" s="23" t="str">
        <x:v>false</x:v>
      </x:c>
      <x:c r="AG9" s="23" t="str">
        <x:v>false</x:v>
      </x:c>
      <x:c r="AH9" s="23" t="str">
        <x:v>true</x:v>
      </x:c>
      <x:c r="AI9" s="23" t="str">
        <x:v>false</x:v>
      </x:c>
      <x:c r="AJ9" s="23" t="str">
        <x:v>false</x:v>
      </x:c>
      <x:c r="AK9" s="23" t="str">
        <x:v>false</x:v>
      </x:c>
      <x:c r="AL9" s="23" t="str">
        <x:v>false</x:v>
      </x:c>
      <x:c r="AM9" s="23" t="str">
        <x:v>測試資料A</x:v>
      </x:c>
      <x:c r="AN9" s="23" t="str">
        <x:v>false</x:v>
      </x:c>
      <x:c r="AO9" s="38" t="str">
        <x:v>所有 pairwise 合法值組合應通過驗證。</x:v>
      </x:c>
      <x:c r="AP9" s="23" t="str">
        <x:v>HTML 原生驗證通過；未偵測到可見錯誤訊息；未取得正式送出授權，僅執行送出前驗證。</x:v>
      </x:c>
      <x:c r="AQ9" s="23" t="str">
        <x:v>PASS</x:v>
      </x:c>
      <x:c r="AR9" s="23" t="str"/>
      <x:c r="AS9" s="23" t="str">
        <x:v>F01-TC008_#root___div_nth-of-type(1)___main_nth-of-type(1)___aside_nth-of-type(2)___form_nth-of-type_valid_PASS.png</x:v>
      </x:c>
      <x:c r="AT9" s="25" t="n">
        <x:v>46224.68837962963</x:v>
      </x:c>
    </x:row>
    <x:row r="10" ht="39.599998474121094" hidden="0" customHeight="1">
      <x:c r="A10" s="23" t="str">
        <x:v>F01-TC009</x:v>
      </x:c>
      <x:c r="B10" s="23" t="str">
        <x:v>Pairwise</x:v>
      </x:c>
      <x:c r="C10" s="23" t="str">
        <x:v>使用成對組合覆蓋多欄位合法值互動。</x:v>
      </x:c>
      <x:c r="D10" s="23" t="str">
        <x:v>QA-0001</x:v>
      </x:c>
      <x:c r="E10" s="23" t="str">
        <x:v>QA-0001</x:v>
      </x:c>
      <x:c r="F10" s="23" t="str">
        <x:v>QA-0001A</x:v>
      </x:c>
      <x:c r="G10" s="23" t="str">
        <x:v>2026-01-15</x:v>
      </x:c>
      <x:c r="H10" s="23" t="str">
        <x:v>false</x:v>
      </x:c>
      <x:c r="I10" s="23" t="n">
        <x:v>10</x:v>
      </x:c>
      <x:c r="J10" s="23" t="n">
        <x:v>10</x:v>
      </x:c>
      <x:c r="K10" s="23" t="n">
        <x:v>10</x:v>
      </x:c>
      <x:c r="L10" s="23" t="str"/>
      <x:c r="M10" s="23" t="str">
        <x:v>false</x:v>
      </x:c>
      <x:c r="N10" s="23" t="str">
        <x:v>false</x:v>
      </x:c>
      <x:c r="O10" s="23" t="str">
        <x:v>false</x:v>
      </x:c>
      <x:c r="P10" s="23" t="n">
        <x:v>10</x:v>
      </x:c>
      <x:c r="Q10" s="23" t="str">
        <x:v>false</x:v>
      </x:c>
      <x:c r="R10" s="23" t="n">
        <x:v>10</x:v>
      </x:c>
      <x:c r="S10" s="23" t="str">
        <x:v>true</x:v>
      </x:c>
      <x:c r="T10" s="23" t="str">
        <x:v>true</x:v>
      </x:c>
      <x:c r="U10" s="23" t="str">
        <x:v>false</x:v>
      </x:c>
      <x:c r="V10" s="23" t="str">
        <x:v>true</x:v>
      </x:c>
      <x:c r="W10" s="23" t="str">
        <x:v>false</x:v>
      </x:c>
      <x:c r="X10" s="23" t="str">
        <x:v>true</x:v>
      </x:c>
      <x:c r="Y10" s="23" t="str">
        <x:v>false</x:v>
      </x:c>
      <x:c r="Z10" s="23" t="str">
        <x:v>true</x:v>
      </x:c>
      <x:c r="AA10" s="23" t="str">
        <x:v>true</x:v>
      </x:c>
      <x:c r="AB10" s="23" t="n">
        <x:v>10</x:v>
      </x:c>
      <x:c r="AC10" s="23" t="str">
        <x:v>false</x:v>
      </x:c>
      <x:c r="AD10" s="23" t="str">
        <x:v>true</x:v>
      </x:c>
      <x:c r="AE10" s="23" t="str">
        <x:v>true</x:v>
      </x:c>
      <x:c r="AF10" s="23" t="str">
        <x:v>false</x:v>
      </x:c>
      <x:c r="AG10" s="23" t="str">
        <x:v>false</x:v>
      </x:c>
      <x:c r="AH10" s="23" t="str">
        <x:v>false</x:v>
      </x:c>
      <x:c r="AI10" s="23" t="str">
        <x:v>true</x:v>
      </x:c>
      <x:c r="AJ10" s="23" t="str">
        <x:v>false</x:v>
      </x:c>
      <x:c r="AK10" s="23" t="str">
        <x:v>true</x:v>
      </x:c>
      <x:c r="AL10" s="23" t="str">
        <x:v>false</x:v>
      </x:c>
      <x:c r="AM10" s="23" t="str">
        <x:v>測試資料A</x:v>
      </x:c>
      <x:c r="AN10" s="23" t="str">
        <x:v>false</x:v>
      </x:c>
      <x:c r="AO10" s="38" t="str">
        <x:v>所有 pairwise 合法值組合應通過驗證。</x:v>
      </x:c>
      <x:c r="AP10" s="23" t="str">
        <x:v>HTML 原生驗證通過；未偵測到可見錯誤訊息；未取得正式送出授權，僅執行送出前驗證。</x:v>
      </x:c>
      <x:c r="AQ10" s="23" t="str">
        <x:v>PASS</x:v>
      </x:c>
      <x:c r="AR10" s="23" t="str"/>
      <x:c r="AS10" s="23" t="str">
        <x:v>F01-TC009_#root___div_nth-of-type(1)___main_nth-of-type(1)___aside_nth-of-type(2)___form_nth-of-type_valid_PASS.png</x:v>
      </x:c>
      <x:c r="AT10" s="25" t="n">
        <x:v>46224.68863425926</x:v>
      </x:c>
    </x:row>
    <x:row r="11" ht="39.599998474121094" hidden="0" customHeight="1">
      <x:c r="A11" s="23" t="str">
        <x:v>F01-TC010</x:v>
      </x:c>
      <x:c r="B11" s="23" t="str">
        <x:v>Pairwise</x:v>
      </x:c>
      <x:c r="C11" s="23" t="str">
        <x:v>使用成對組合覆蓋多欄位合法值互動。</x:v>
      </x:c>
      <x:c r="D11" s="23" t="str">
        <x:v>QA-0001</x:v>
      </x:c>
      <x:c r="E11" s="23" t="str">
        <x:v>QA-0001</x:v>
      </x:c>
      <x:c r="F11" s="23" t="str">
        <x:v>QA-0001</x:v>
      </x:c>
      <x:c r="G11" s="23" t="str">
        <x:v>2026-01-15</x:v>
      </x:c>
      <x:c r="H11" s="23" t="str">
        <x:v>true</x:v>
      </x:c>
      <x:c r="I11" s="23" t="n">
        <x:v>10</x:v>
      </x:c>
      <x:c r="J11" s="23" t="n">
        <x:v>10</x:v>
      </x:c>
      <x:c r="K11" s="23" t="n">
        <x:v>10</x:v>
      </x:c>
      <x:c r="L11" s="23" t="str"/>
      <x:c r="M11" s="23" t="str">
        <x:v>true</x:v>
      </x:c>
      <x:c r="N11" s="23" t="str">
        <x:v>false</x:v>
      </x:c>
      <x:c r="O11" s="23" t="str">
        <x:v>false</x:v>
      </x:c>
      <x:c r="P11" s="23" t="n">
        <x:v>10</x:v>
      </x:c>
      <x:c r="Q11" s="23" t="str">
        <x:v>true</x:v>
      </x:c>
      <x:c r="R11" s="23" t="n">
        <x:v>10</x:v>
      </x:c>
      <x:c r="S11" s="23" t="str">
        <x:v>false</x:v>
      </x:c>
      <x:c r="T11" s="23" t="str">
        <x:v>false</x:v>
      </x:c>
      <x:c r="U11" s="23" t="str">
        <x:v>false</x:v>
      </x:c>
      <x:c r="V11" s="23" t="str">
        <x:v>false</x:v>
      </x:c>
      <x:c r="W11" s="23" t="str">
        <x:v>false</x:v>
      </x:c>
      <x:c r="X11" s="23" t="str">
        <x:v>false</x:v>
      </x:c>
      <x:c r="Y11" s="23" t="str">
        <x:v>false</x:v>
      </x:c>
      <x:c r="Z11" s="23" t="str">
        <x:v>false</x:v>
      </x:c>
      <x:c r="AA11" s="23" t="str">
        <x:v>false</x:v>
      </x:c>
      <x:c r="AB11" s="23" t="n">
        <x:v>10</x:v>
      </x:c>
      <x:c r="AC11" s="23" t="str">
        <x:v>false</x:v>
      </x:c>
      <x:c r="AD11" s="23" t="str">
        <x:v>false</x:v>
      </x:c>
      <x:c r="AE11" s="23" t="str">
        <x:v>true</x:v>
      </x:c>
      <x:c r="AF11" s="23" t="str">
        <x:v>true</x:v>
      </x:c>
      <x:c r="AG11" s="23" t="str">
        <x:v>true</x:v>
      </x:c>
      <x:c r="AH11" s="23" t="str">
        <x:v>false</x:v>
      </x:c>
      <x:c r="AI11" s="23" t="str">
        <x:v>false</x:v>
      </x:c>
      <x:c r="AJ11" s="23" t="str">
        <x:v>true</x:v>
      </x:c>
      <x:c r="AK11" s="23" t="str">
        <x:v>false</x:v>
      </x:c>
      <x:c r="AL11" s="23" t="str">
        <x:v>false</x:v>
      </x:c>
      <x:c r="AM11" s="23" t="str">
        <x:v>測試資料</x:v>
      </x:c>
      <x:c r="AN11" s="23" t="str">
        <x:v>true</x:v>
      </x:c>
      <x:c r="AO11" s="38" t="str">
        <x:v>所有 pairwise 合法值組合應通過驗證。</x:v>
      </x:c>
      <x:c r="AP11" s="23" t="str">
        <x:v>HTML 原生驗證通過；未偵測到可見錯誤訊息；未取得正式送出授權，僅執行送出前驗證。</x:v>
      </x:c>
      <x:c r="AQ11" s="23" t="str">
        <x:v>PASS</x:v>
      </x:c>
      <x:c r="AR11" s="23" t="str"/>
      <x:c r="AS11" s="23" t="str">
        <x:v>F01-TC010_#root___div_nth-of-type(1)___main_nth-of-type(1)___aside_nth-of-type(2)___form_nth-of-type_valid_PASS.png</x:v>
      </x:c>
      <x:c r="AT11" s="25" t="n">
        <x:v>46224.68887731482</x:v>
      </x:c>
    </x:row>
    <x:row r="12" ht="39.599998474121094" hidden="0" customHeight="1">
      <x:c r="A12" s="23" t="str">
        <x:v>F01-TC011</x:v>
      </x:c>
      <x:c r="B12" s="23" t="str">
        <x:v>Pairwise</x:v>
      </x:c>
      <x:c r="C12" s="23" t="str">
        <x:v>使用成對組合覆蓋多欄位合法值互動。</x:v>
      </x:c>
      <x:c r="D12" s="23" t="str">
        <x:v>QA-0001</x:v>
      </x:c>
      <x:c r="E12" s="23" t="str">
        <x:v>QA-0001</x:v>
      </x:c>
      <x:c r="F12" s="23" t="str">
        <x:v>QA-0001A</x:v>
      </x:c>
      <x:c r="G12" s="23" t="str">
        <x:v>2026-01-15</x:v>
      </x:c>
      <x:c r="H12" s="23" t="str">
        <x:v>false</x:v>
      </x:c>
      <x:c r="I12" s="23" t="n">
        <x:v>10</x:v>
      </x:c>
      <x:c r="J12" s="23" t="n">
        <x:v>10</x:v>
      </x:c>
      <x:c r="K12" s="23" t="n">
        <x:v>10</x:v>
      </x:c>
      <x:c r="L12" s="23" t="str"/>
      <x:c r="M12" s="23" t="str">
        <x:v>false</x:v>
      </x:c>
      <x:c r="N12" s="23" t="str">
        <x:v>false</x:v>
      </x:c>
      <x:c r="O12" s="23" t="str">
        <x:v>true</x:v>
      </x:c>
      <x:c r="P12" s="23" t="n">
        <x:v>10</x:v>
      </x:c>
      <x:c r="Q12" s="23" t="str">
        <x:v>true</x:v>
      </x:c>
      <x:c r="R12" s="23" t="n">
        <x:v>10</x:v>
      </x:c>
      <x:c r="S12" s="23" t="str">
        <x:v>false</x:v>
      </x:c>
      <x:c r="T12" s="23" t="str">
        <x:v>true</x:v>
      </x:c>
      <x:c r="U12" s="23" t="str">
        <x:v>false</x:v>
      </x:c>
      <x:c r="V12" s="23" t="str">
        <x:v>false</x:v>
      </x:c>
      <x:c r="W12" s="23" t="str">
        <x:v>false</x:v>
      </x:c>
      <x:c r="X12" s="23" t="str">
        <x:v>false</x:v>
      </x:c>
      <x:c r="Y12" s="23" t="str">
        <x:v>true</x:v>
      </x:c>
      <x:c r="Z12" s="23" t="str">
        <x:v>true</x:v>
      </x:c>
      <x:c r="AA12" s="23" t="str">
        <x:v>false</x:v>
      </x:c>
      <x:c r="AB12" s="23" t="n">
        <x:v>10</x:v>
      </x:c>
      <x:c r="AC12" s="23" t="str">
        <x:v>true</x:v>
      </x:c>
      <x:c r="AD12" s="23" t="str">
        <x:v>false</x:v>
      </x:c>
      <x:c r="AE12" s="23" t="str">
        <x:v>false</x:v>
      </x:c>
      <x:c r="AF12" s="23" t="str">
        <x:v>false</x:v>
      </x:c>
      <x:c r="AG12" s="23" t="str">
        <x:v>false</x:v>
      </x:c>
      <x:c r="AH12" s="23" t="str">
        <x:v>false</x:v>
      </x:c>
      <x:c r="AI12" s="23" t="str">
        <x:v>false</x:v>
      </x:c>
      <x:c r="AJ12" s="23" t="str">
        <x:v>true</x:v>
      </x:c>
      <x:c r="AK12" s="23" t="str">
        <x:v>true</x:v>
      </x:c>
      <x:c r="AL12" s="23" t="str">
        <x:v>true</x:v>
      </x:c>
      <x:c r="AM12" s="23" t="str">
        <x:v>測試資料</x:v>
      </x:c>
      <x:c r="AN12" s="23" t="str">
        <x:v>true</x:v>
      </x:c>
      <x:c r="AO12" s="38" t="str">
        <x:v>所有 pairwise 合法值組合應通過驗證。</x:v>
      </x:c>
      <x:c r="AP12" s="23" t="str">
        <x:v>HTML 原生驗證通過；未偵測到可見錯誤訊息；未取得正式送出授權，僅執行送出前驗證。</x:v>
      </x:c>
      <x:c r="AQ12" s="23" t="str">
        <x:v>PASS</x:v>
      </x:c>
      <x:c r="AR12" s="23" t="str"/>
      <x:c r="AS12" s="23" t="str">
        <x:v>F01-TC011_#root___div_nth-of-type(1)___main_nth-of-type(1)___aside_nth-of-type(2)___form_nth-of-type_valid_PASS.png</x:v>
      </x:c>
      <x:c r="AT12" s="25" t="n">
        <x:v>46224.689155092594</x:v>
      </x:c>
    </x:row>
    <x:row r="13" ht="39.599998474121094" hidden="0" customHeight="1">
      <x:c r="A13" s="24" t="str">
        <x:v>F01-TC012</x:v>
      </x:c>
      <x:c r="B13" s="24" t="str">
        <x:v>Pairwise</x:v>
      </x:c>
      <x:c r="C13" s="24" t="str">
        <x:v>使用成對組合覆蓋多欄位合法值互動。</x:v>
      </x:c>
      <x:c r="D13" s="24" t="str">
        <x:v>QA-0001</x:v>
      </x:c>
      <x:c r="E13" s="24" t="str">
        <x:v>QA-0001</x:v>
      </x:c>
      <x:c r="F13" s="24" t="str">
        <x:v>QA-0001</x:v>
      </x:c>
      <x:c r="G13" s="24" t="str">
        <x:v>2026-01-15</x:v>
      </x:c>
      <x:c r="H13" s="24" t="str">
        <x:v>false</x:v>
      </x:c>
      <x:c r="I13" s="24" t="n">
        <x:v>10</x:v>
      </x:c>
      <x:c r="J13" s="24" t="n">
        <x:v>10</x:v>
      </x:c>
      <x:c r="K13" s="24" t="n">
        <x:v>10</x:v>
      </x:c>
      <x:c r="L13" s="24" t="str"/>
      <x:c r="M13" s="24" t="str">
        <x:v>true</x:v>
      </x:c>
      <x:c r="N13" s="24" t="str">
        <x:v>true</x:v>
      </x:c>
      <x:c r="O13" s="24" t="str">
        <x:v>false</x:v>
      </x:c>
      <x:c r="P13" s="24" t="n">
        <x:v>10</x:v>
      </x:c>
      <x:c r="Q13" s="24" t="str">
        <x:v>false</x:v>
      </x:c>
      <x:c r="R13" s="24" t="n">
        <x:v>10</x:v>
      </x:c>
      <x:c r="S13" s="24" t="str">
        <x:v>true</x:v>
      </x:c>
      <x:c r="T13" s="24" t="str">
        <x:v>false</x:v>
      </x:c>
      <x:c r="U13" s="24" t="str">
        <x:v>false</x:v>
      </x:c>
      <x:c r="V13" s="24" t="str">
        <x:v>false</x:v>
      </x:c>
      <x:c r="W13" s="24" t="str">
        <x:v>false</x:v>
      </x:c>
      <x:c r="X13" s="24" t="str">
        <x:v>false</x:v>
      </x:c>
      <x:c r="Y13" s="24" t="str">
        <x:v>true</x:v>
      </x:c>
      <x:c r="Z13" s="24" t="str">
        <x:v>true</x:v>
      </x:c>
      <x:c r="AA13" s="24" t="str">
        <x:v>true</x:v>
      </x:c>
      <x:c r="AB13" s="24" t="n">
        <x:v>10</x:v>
      </x:c>
      <x:c r="AC13" s="24" t="str">
        <x:v>true</x:v>
      </x:c>
      <x:c r="AD13" s="24" t="str">
        <x:v>false</x:v>
      </x:c>
      <x:c r="AE13" s="24" t="str">
        <x:v>false</x:v>
      </x:c>
      <x:c r="AF13" s="24" t="str">
        <x:v>false</x:v>
      </x:c>
      <x:c r="AG13" s="24" t="str">
        <x:v>true</x:v>
      </x:c>
      <x:c r="AH13" s="24" t="str">
        <x:v>true</x:v>
      </x:c>
      <x:c r="AI13" s="24" t="str">
        <x:v>true</x:v>
      </x:c>
      <x:c r="AJ13" s="24" t="str">
        <x:v>false</x:v>
      </x:c>
      <x:c r="AK13" s="24" t="str">
        <x:v>false</x:v>
      </x:c>
      <x:c r="AL13" s="24" t="str">
        <x:v>true</x:v>
      </x:c>
      <x:c r="AM13" s="24" t="str">
        <x:v>測試資料A</x:v>
      </x:c>
      <x:c r="AN13" s="24" t="str">
        <x:v>true</x:v>
      </x:c>
      <x:c r="AO13" s="39" t="str">
        <x:v>所有 pairwise 合法值組合應通過驗證。</x:v>
      </x:c>
      <x:c r="AP13" s="24" t="str">
        <x:v>HTML 原生驗證通過；未偵測到可見錯誤訊息；未取得正式送出授權，僅執行送出前驗證。</x:v>
      </x:c>
      <x:c r="AQ13" s="24" t="str">
        <x:v>PASS</x:v>
      </x:c>
      <x:c r="AR13" s="24" t="str"/>
      <x:c r="AS13" s="24" t="str">
        <x:v>F01-TC012_#root___div_nth-of-type(1)___main_nth-of-type(1)___aside_nth-of-type(2)___form_nth-of-type_valid_PASS.png</x:v>
      </x:c>
      <x:c r="AT13" s="55" t="n">
        <x:v>46224.68944444445</x:v>
      </x:c>
    </x:row>
  </x:sheetData>
  <x:conditionalFormatting sqref="AQ2:AQ1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需人工確認"/>
    <x:cfRule type="containsText" dxfId="3" priority="4" operator="containsText" text="技術錯誤"/>
    <x:cfRule type="containsText" dxfId="4" priority="5" operator="containsText" text="TECHNICAL_ERROR"/>
  </x:conditionalFormatting>
  <x:pageMargins left="0.7" right="0.7" top="0.75" bottom="0.75" header="0.3" footer="0.3"/>
</x:worksheet>
</file>